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bbe71eb02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6a1eceacf279463c"/>
    <x:sheet xmlns:r="http://schemas.openxmlformats.org/officeDocument/2006/relationships" name="UI Tasks" sheetId="2" r:id="Red88aead85e4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 mmm yyyy"/>
    <x:numFmt numFmtId="202" formatCode="0%"/>
  </x:numFmts>
  <x:fonts count="5">
    <x:font>
      <x:sz val="11"/>
      <x:name val="Carlito"/>
    </x:font>
    <x:font>
      <x:sz val="10"/>
      <x:color rgb="FF263244"/>
      <x:name val="Arial"/>
    </x:font>
    <x:font>
      <x:b/>
      <x:sz val="16"/>
      <x:color rgb="FF263244"/>
      <x:name val="Arial"/>
    </x:font>
    <x:font>
      <x:b/>
      <x:sz val="10"/>
      <x:color rgb="FFFFFFFF"/>
      <x:name val="Arial"/>
    </x:font>
    <x:font>
      <x:b/>
      <x:sz val="10"/>
      <x:color rgb="FF2632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B54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24613A"/>
      </x:font>
      <x:fill>
        <x:patternFill patternType="solid">
          <x:bgColor rgb="FFDFEE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5b22bb19c4593" /><Relationship Type="http://schemas.openxmlformats.org/officeDocument/2006/relationships/theme" Target="/xl/theme/theme1.xml" Id="Rcac259d6ac6446fb" /><Relationship Type="http://schemas.openxmlformats.org/officeDocument/2006/relationships/sharedStrings" Target="/xl/sharedStrings.xml" Id="R2a28023825d64e2d" /><Relationship Type="http://schemas.openxmlformats.org/officeDocument/2006/relationships/worksheet" Target="/xl/worksheets/sheet1.xml" Id="R6a1eceacf279463c" /><Relationship Type="http://schemas.openxmlformats.org/officeDocument/2006/relationships/worksheet" Target="/xl/worksheets/sheet2.xml" Id="Red88aead85e443fb" /></Relationships>
</file>

<file path=xl/tables/table1.xml><?xml version="1.0" encoding="utf-8"?>
<x:table xmlns:x="http://schemas.openxmlformats.org/spreadsheetml/2006/main" id="1" name="UiTasks" displayName="UiTasks" ref="A5:N37" headerRowCount="1" totalsRowCount="0" totalsRowShown="0">
  <x:tableColumns count="14">
    <x:tableColumn id="1" name="ID"/>
    <x:tableColumn id="2" name="Phase"/>
    <x:tableColumn id="3" name="Priority"/>
    <x:tableColumn id="4" name="UI task"/>
    <x:tableColumn id="5" name="Proposed fix"/>
    <x:tableColumn id="6" name="Acceptance criteria"/>
    <x:tableColumn id="7" name="Design h"/>
    <x:tableColumn id="8" name="Flutter h"/>
    <x:tableColumn id="9" name="QA h"/>
    <x:tableColumn id="10" name="Total h"/>
    <x:tableColumn id="11" name="Depends on"/>
    <x:tableColumn id="12" name="Status"/>
    <x:tableColumn id="13" name="Owner"/>
    <x:tableColumn id="14" name="Source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d3a88e36874e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BS Units | UI fix estimate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25" customHeight="1">
      <x:c r="A4" s="1" t="str">
        <x:v>Planning date</x:v>
      </x:c>
      <x:c r="B4" s="13" t="n">
        <x:v>46300</x:v>
      </x:c>
      <x:c r="C4" s="1"/>
      <x:c r="D4" s="1"/>
      <x:c r="E4" s="1"/>
      <x:c r="F4" s="1"/>
    </x:row>
    <x:row r="5" ht="25" customHeight="1">
      <x:c r="A5" s="1" t="str">
        <x:v>Task count</x:v>
      </x:c>
      <x:c r="B5" s="1" t="n">
        <x:f>COUNTA('UI Tasks'!A6:A37)</x:f>
        <x:v>32</x:v>
      </x:c>
      <x:c r="C5" s="1"/>
      <x:c r="D5" s="1"/>
      <x:c r="E5" s="1"/>
      <x:c r="F5" s="1"/>
    </x:row>
    <x:row r="6" ht="25" customHeight="1">
      <x:c r="A6" s="1" t="str">
        <x:v>Base effort (h)</x:v>
      </x:c>
      <x:c r="B6" s="15" t="n">
        <x:f>SUM('UI Tasks'!J6:J37)</x:f>
        <x:v>198</x:v>
      </x:c>
      <x:c r="C6" s="1"/>
      <x:c r="D6" s="1"/>
      <x:c r="E6" s="1"/>
      <x:c r="F6" s="1"/>
    </x:row>
    <x:row r="7" ht="25" customHeight="1">
      <x:c r="A7" s="1" t="str">
        <x:v>Contingency</x:v>
      </x:c>
      <x:c r="B7" s="16" t="n">
        <x:v>0.2</x:v>
      </x:c>
      <x:c r="C7" s="1"/>
      <x:c r="D7" s="1"/>
      <x:c r="E7" s="1"/>
      <x:c r="F7" s="1"/>
    </x:row>
    <x:row r="8" ht="25" customHeight="1">
      <x:c r="A8" s="1" t="str">
        <x:v>Planned effort (h)</x:v>
      </x:c>
      <x:c r="B8" s="15" t="n">
        <x:f>B6*(1+B7)</x:f>
        <x:v>237.6</x:v>
      </x:c>
      <x:c r="C8" s="1"/>
      <x:c r="D8" s="1"/>
      <x:c r="E8" s="1"/>
      <x:c r="F8" s="1"/>
    </x:row>
    <x:row r="9" ht="25" customHeight="1">
      <x:c r="A9" s="1" t="str">
        <x:v>Productive hours / day</x:v>
      </x:c>
      <x:c r="B9" s="17" t="n">
        <x:v>6</x:v>
      </x:c>
      <x:c r="C9" s="1"/>
      <x:c r="D9" s="1"/>
      <x:c r="E9" s="1"/>
      <x:c r="F9" s="1"/>
    </x:row>
    <x:row r="10" ht="25" customHeight="1">
      <x:c r="A10" s="1" t="str">
        <x:v>Working days, 1 developer</x:v>
      </x:c>
      <x:c r="B10" s="1" t="n">
        <x:f>ROUNDUP(B8/B9,0)</x:f>
        <x:v>40</x:v>
      </x:c>
      <x:c r="C10" s="1"/>
      <x:c r="D10" s="1"/>
      <x:c r="E10" s="1"/>
      <x:c r="F10" s="1"/>
    </x:row>
    <x:row r="11" ht="25" customHeight="1">
      <x:c r="A11" s="1" t="str">
        <x:v>Working weeks, 5 days</x:v>
      </x:c>
      <x:c r="B11" s="15" t="n">
        <x:f>B10/5</x:f>
        <x:v>8</x:v>
      </x:c>
      <x:c r="C11" s="1"/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1"/>
      <x:c r="B13" s="1"/>
      <x:c r="C13" s="1"/>
      <x:c r="D13" s="1"/>
      <x:c r="E13" s="1"/>
      <x:c r="F13" s="1"/>
    </x:row>
    <x:row r="14" ht="25" customHeight="1">
      <x:c r="A14" s="7" t="str">
        <x:v>Delivery order</x:v>
      </x:c>
      <x:c r="B14" s="7" t="str">
        <x:v>Tasks</x:v>
      </x:c>
      <x:c r="C14" s="7" t="str">
        <x:v>Design h</x:v>
      </x:c>
      <x:c r="D14" s="7" t="str">
        <x:v>Flutter h</x:v>
      </x:c>
      <x:c r="E14" s="7" t="str">
        <x:v>QA h</x:v>
      </x:c>
      <x:c r="F14" s="7" t="str">
        <x:v>Base total h</x:v>
      </x:c>
    </x:row>
    <x:row r="15" ht="25" customHeight="1">
      <x:c r="A15" s="21" t="str">
        <x:v>Foundation</x:v>
      </x:c>
      <x:c r="B15" s="21" t="n">
        <x:f>COUNTIFS('UI Tasks'!$B$6:$B$37,A15)</x:f>
        <x:v>4</x:v>
      </x:c>
      <x:c r="C15" s="22" t="n">
        <x:f>SUMIFS('UI Tasks'!$G$6:$G$37,'UI Tasks'!$B$6:$B$37,A15)</x:f>
        <x:v>8</x:v>
      </x:c>
      <x:c r="D15" s="22" t="n">
        <x:f>SUMIFS('UI Tasks'!$H$6:$H$37,'UI Tasks'!$B$6:$B$37,A15)</x:f>
        <x:v>15</x:v>
      </x:c>
      <x:c r="E15" s="22" t="n">
        <x:f>SUMIFS('UI Tasks'!$I$6:$I$37,'UI Tasks'!$B$6:$B$37,A15)</x:f>
        <x:v>4</x:v>
      </x:c>
      <x:c r="F15" s="22" t="n">
        <x:f>SUMIFS('UI Tasks'!$J$6:$J$37,'UI Tasks'!$B$6:$B$37,A15)</x:f>
        <x:v>27</x:v>
      </x:c>
    </x:row>
    <x:row r="16" ht="25" customHeight="1">
      <x:c r="A16" s="21" t="str">
        <x:v>Core screens</x:v>
      </x:c>
      <x:c r="B16" s="21" t="n">
        <x:f>COUNTIFS('UI Tasks'!$B$6:$B$37,A16)</x:f>
        <x:v>9</x:v>
      </x:c>
      <x:c r="C16" s="22" t="n">
        <x:f>SUMIFS('UI Tasks'!$G$6:$G$37,'UI Tasks'!$B$6:$B$37,A16)</x:f>
        <x:v>12</x:v>
      </x:c>
      <x:c r="D16" s="22" t="n">
        <x:f>SUMIFS('UI Tasks'!$H$6:$H$37,'UI Tasks'!$B$6:$B$37,A16)</x:f>
        <x:v>32</x:v>
      </x:c>
      <x:c r="E16" s="22" t="n">
        <x:f>SUMIFS('UI Tasks'!$I$6:$I$37,'UI Tasks'!$B$6:$B$37,A16)</x:f>
        <x:v>9</x:v>
      </x:c>
      <x:c r="F16" s="22" t="n">
        <x:f>SUMIFS('UI Tasks'!$J$6:$J$37,'UI Tasks'!$B$6:$B$37,A16)</x:f>
        <x:v>53</x:v>
      </x:c>
    </x:row>
    <x:row r="17" ht="25" customHeight="1">
      <x:c r="A17" s="21" t="str">
        <x:v>Authentication</x:v>
      </x:c>
      <x:c r="B17" s="21" t="n">
        <x:f>COUNTIFS('UI Tasks'!$B$6:$B$37,A17)</x:f>
        <x:v>3</x:v>
      </x:c>
      <x:c r="C17" s="22" t="n">
        <x:f>SUMIFS('UI Tasks'!$G$6:$G$37,'UI Tasks'!$B$6:$B$37,A17)</x:f>
        <x:v>4</x:v>
      </x:c>
      <x:c r="D17" s="22" t="n">
        <x:f>SUMIFS('UI Tasks'!$H$6:$H$37,'UI Tasks'!$B$6:$B$37,A17)</x:f>
        <x:v>12</x:v>
      </x:c>
      <x:c r="E17" s="22" t="n">
        <x:f>SUMIFS('UI Tasks'!$I$6:$I$37,'UI Tasks'!$B$6:$B$37,A17)</x:f>
        <x:v>3</x:v>
      </x:c>
      <x:c r="F17" s="22" t="n">
        <x:f>SUMIFS('UI Tasks'!$J$6:$J$37,'UI Tasks'!$B$6:$B$37,A17)</x:f>
        <x:v>19</x:v>
      </x:c>
    </x:row>
    <x:row r="18" ht="25" customHeight="1">
      <x:c r="A18" s="21" t="str">
        <x:v>Requests</x:v>
      </x:c>
      <x:c r="B18" s="21" t="n">
        <x:f>COUNTIFS('UI Tasks'!$B$6:$B$37,A18)</x:f>
        <x:v>8</x:v>
      </x:c>
      <x:c r="C18" s="22" t="n">
        <x:f>SUMIFS('UI Tasks'!$G$6:$G$37,'UI Tasks'!$B$6:$B$37,A18)</x:f>
        <x:v>9.5</x:v>
      </x:c>
      <x:c r="D18" s="22" t="n">
        <x:f>SUMIFS('UI Tasks'!$H$6:$H$37,'UI Tasks'!$B$6:$B$37,A18)</x:f>
        <x:v>32.5</x:v>
      </x:c>
      <x:c r="E18" s="22" t="n">
        <x:f>SUMIFS('UI Tasks'!$I$6:$I$37,'UI Tasks'!$B$6:$B$37,A18)</x:f>
        <x:v>10</x:v>
      </x:c>
      <x:c r="F18" s="22" t="n">
        <x:f>SUMIFS('UI Tasks'!$J$6:$J$37,'UI Tasks'!$B$6:$B$37,A18)</x:f>
        <x:v>52</x:v>
      </x:c>
    </x:row>
    <x:row r="19" ht="25" customHeight="1">
      <x:c r="A19" s="21" t="str">
        <x:v>Secondary screens</x:v>
      </x:c>
      <x:c r="B19" s="21" t="n">
        <x:f>COUNTIFS('UI Tasks'!$B$6:$B$37,A19)</x:f>
        <x:v>6</x:v>
      </x:c>
      <x:c r="C19" s="22" t="n">
        <x:f>SUMIFS('UI Tasks'!$G$6:$G$37,'UI Tasks'!$B$6:$B$37,A19)</x:f>
        <x:v>6</x:v>
      </x:c>
      <x:c r="D19" s="22" t="n">
        <x:f>SUMIFS('UI Tasks'!$H$6:$H$37,'UI Tasks'!$B$6:$B$37,A19)</x:f>
        <x:v>17</x:v>
      </x:c>
      <x:c r="E19" s="22" t="n">
        <x:f>SUMIFS('UI Tasks'!$I$6:$I$37,'UI Tasks'!$B$6:$B$37,A19)</x:f>
        <x:v>6</x:v>
      </x:c>
      <x:c r="F19" s="22" t="n">
        <x:f>SUMIFS('UI Tasks'!$J$6:$J$37,'UI Tasks'!$B$6:$B$37,A19)</x:f>
        <x:v>29</x:v>
      </x:c>
    </x:row>
    <x:row r="20" ht="25" customHeight="1">
      <x:c r="A20" s="21" t="str">
        <x:v>Visual QA</x:v>
      </x:c>
      <x:c r="B20" s="21" t="n">
        <x:f>COUNTIFS('UI Tasks'!$B$6:$B$37,A20)</x:f>
        <x:v>2</x:v>
      </x:c>
      <x:c r="C20" s="22" t="n">
        <x:f>SUMIFS('UI Tasks'!$G$6:$G$37,'UI Tasks'!$B$6:$B$37,A20)</x:f>
        <x:v>0</x:v>
      </x:c>
      <x:c r="D20" s="22" t="n">
        <x:f>SUMIFS('UI Tasks'!$H$6:$H$37,'UI Tasks'!$B$6:$B$37,A20)</x:f>
        <x:v>10</x:v>
      </x:c>
      <x:c r="E20" s="22" t="n">
        <x:f>SUMIFS('UI Tasks'!$I$6:$I$37,'UI Tasks'!$B$6:$B$37,A20)</x:f>
        <x:v>8</x:v>
      </x:c>
      <x:c r="F20" s="22" t="n">
        <x:f>SUMIFS('UI Tasks'!$J$6:$J$37,'UI Tasks'!$B$6:$B$37,A20)</x:f>
        <x:v>18</x:v>
      </x:c>
    </x:row>
    <x:row r="21" ht="25" customHeight="1">
      <x:c r="A21" s="23" t="str">
        <x:v>Total</x:v>
      </x:c>
      <x:c r="B21" s="23" t="n">
        <x:f>SUM(B15:B20)</x:f>
        <x:v>32</x:v>
      </x:c>
      <x:c r="C21" s="24" t="n">
        <x:f>SUM(C15:C20)</x:f>
        <x:v>39.5</x:v>
      </x:c>
      <x:c r="D21" s="24" t="n">
        <x:f>SUM(D15:D20)</x:f>
        <x:v>118.5</x:v>
      </x:c>
      <x:c r="E21" s="24" t="n">
        <x:f>SUM(E15:E20)</x:f>
        <x:v>40</x:v>
      </x:c>
      <x:c r="F21" s="24" t="n">
        <x:f>SUM(F15:F20)</x:f>
        <x:v>198</x:v>
      </x:c>
    </x:row>
    <x:row r="22" ht="25" customHeight="1">
      <x:c r="A22" s="1"/>
      <x:c r="B22" s="1"/>
      <x:c r="C22" s="1"/>
      <x:c r="D22" s="1"/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8" t="str">
        <x:v>Scope and estimate basis</x:v>
      </x:c>
      <x:c r="B24" s="1"/>
      <x:c r="C24" s="1"/>
      <x:c r="D24" s="1"/>
      <x:c r="E24" s="1"/>
      <x:c r="F24" s="1"/>
    </x:row>
    <x:row r="25" ht="25" customHeight="1">
      <x:c r="A25" s="20" t="str">
        <x:v>UI only: visual design, styling, spacing, typography, existing screen layouts and visual QA.</x:v>
      </x:c>
      <x:c r="B25" s="1"/>
      <x:c r="C25" s="1"/>
      <x:c r="D25" s="1"/>
      <x:c r="E25" s="1"/>
      <x:c r="F25" s="1"/>
    </x:row>
    <x:row r="26" ht="25" customHeight="1">
      <x:c r="A26" s="20" t="str">
        <x:v>Preserve routes, API calls, business rules, permissions and calculation logic. No new features.</x:v>
      </x:c>
      <x:c r="B26" s="1"/>
      <x:c r="C26" s="1"/>
      <x:c r="D26" s="1"/>
      <x:c r="E26" s="1"/>
      <x:c r="F26" s="1"/>
    </x:row>
    <x:row r="27" ht="25" customHeight="1">
      <x:c r="A27" s="20" t="str">
        <x:v>Basis: repository source review and existing home.png / screen.png; no live app audit performed.</x:v>
      </x:c>
      <x:c r="B27" s="1"/>
      <x:c r="C27" s="1"/>
      <x:c r="D27" s="1"/>
      <x:c r="E27" s="1"/>
      <x:c r="F27" s="1"/>
    </x:row>
    <x:row r="28" ht="25" customHeight="1">
      <x:c r="A28" s="20" t="str">
        <x:v>Estimates are planning judgments for one Flutter developer; design and QA effort are included per task.</x:v>
      </x:c>
      <x:c r="B28" s="1"/>
      <x:c r="C28" s="1"/>
      <x:c r="D28" s="1"/>
      <x:c r="E28" s="1"/>
      <x:c r="F28" s="1"/>
    </x:row>
    <x:row r="29" ht="25" customHeight="1">
      <x:c r="A29" s="20" t="str">
        <x:v>QA rows cover cross-screen checks; per-task QA covers the individual revised screen or component.</x:v>
      </x:c>
      <x:c r="B29" s="1"/>
      <x:c r="C29" s="1"/>
      <x:c r="D29" s="1"/>
      <x:c r="E29" s="1"/>
      <x:c r="F29" s="1"/>
    </x:row>
    <x:row r="30" ht="25" customHeight="1">
      <x:c r="A30" s="20" t="str">
        <x:v>20% contingency covers visual iteration and device differences; no review waiting time is included.</x:v>
      </x:c>
      <x:c r="B30" s="1"/>
      <x:c r="C30" s="1"/>
      <x:c r="D30" s="1"/>
      <x:c r="E30" s="1"/>
      <x:c r="F30" s="1"/>
    </x:row>
    <x:row r="31" ht="25" customHeight="1">
      <x:c r="A31" s="20" t="str">
        <x:v>Assume existing assets, English/Khmer support and Android/iOS access; brand approval may change effort.</x:v>
      </x:c>
      <x:c r="B31" s="1"/>
      <x:c r="C31" s="1"/>
      <x:c r="D31" s="1"/>
      <x:c r="E31" s="1"/>
      <x:c r="F31" s="1"/>
    </x:row>
    <x:row r="32" ht="25" customHeight="1">
      <x:c r="A32" s="20" t="str">
        <x:v>Edit amber estimates, status and owner on UI Tasks; edit contingency and daily capacity here.</x:v>
      </x:c>
      <x:c r="B32" s="1"/>
      <x:c r="C32" s="1"/>
      <x:c r="D32" s="1"/>
      <x:c r="E32" s="1"/>
      <x:c r="F32" s="1"/>
    </x:row>
    <x:row r="33" ht="25" customHeight="1">
      <x:c r="A33" s="20" t="str">
        <x:v>Rows are grouped by delivery phase. Complete dependency IDs before their dependent tasks.</x:v>
      </x:c>
      <x:c r="B33" s="1"/>
      <x:c r="C33" s="1"/>
      <x:c r="D33" s="1"/>
      <x:c r="E33" s="1"/>
      <x:c r="F33" s="1"/>
    </x:row>
    <x:row r="34" ht="25" customHeight="1">
      <x:c r="A34" s="20" t="str">
        <x:v>Re-estimate after reviewing mockups and the running app. No start date or deadline has been assumed.</x:v>
      </x:c>
      <x:c r="B34" s="1"/>
      <x:c r="C34" s="1"/>
      <x:c r="D34" s="1"/>
      <x:c r="E34" s="1"/>
      <x:c r="F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32" hidden="0" customWidth="1"/>
    <x:col min="5" max="5" width="54" hidden="0" customWidth="1"/>
    <x:col min="6" max="6" width="5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20" hidden="0" customWidth="1"/>
    <x:col min="14" max="14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BS Units | UI fix backlog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Estimates are person-hours. Amber cells are editable; Total h is calculated. P1 first, P2 next, P3 polish.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A5" s="7" t="str">
        <x:v>ID</x:v>
      </x:c>
      <x:c r="B5" s="7" t="str">
        <x:v>Phase</x:v>
      </x:c>
      <x:c r="C5" s="7" t="str">
        <x:v>Priority</x:v>
      </x:c>
      <x:c r="D5" s="7" t="str">
        <x:v>UI task</x:v>
      </x:c>
      <x:c r="E5" s="7" t="str">
        <x:v>Proposed fix</x:v>
      </x:c>
      <x:c r="F5" s="7" t="str">
        <x:v>Acceptance criteria</x:v>
      </x:c>
      <x:c r="G5" s="7" t="str">
        <x:v>Design h</x:v>
      </x:c>
      <x:c r="H5" s="7" t="str">
        <x:v>Flutter h</x:v>
      </x:c>
      <x:c r="I5" s="7" t="str">
        <x:v>QA h</x:v>
      </x:c>
      <x:c r="J5" s="7" t="str">
        <x:v>Total h</x:v>
      </x:c>
      <x:c r="K5" s="7" t="str">
        <x:v>Depends on</x:v>
      </x:c>
      <x:c r="L5" s="7" t="str">
        <x:v>Status</x:v>
      </x:c>
      <x:c r="M5" s="7" t="str">
        <x:v>Owner</x:v>
      </x:c>
      <x:c r="N5" s="7" t="str">
        <x:v>Source / evidence</x:v>
      </x:c>
    </x:row>
    <x:row r="6" ht="66" customHeight="1">
      <x:c r="A6" s="9" t="str">
        <x:v>UI-01</x:v>
      </x:c>
      <x:c r="B6" s="9" t="str">
        <x:v>Foundation</x:v>
      </x:c>
      <x:c r="C6" s="9" t="str">
        <x:v>P1</x:v>
      </x:c>
      <x:c r="D6" s="9" t="str">
        <x:v>Define visual direction</x:v>
      </x:c>
      <x:c r="E6" s="9" t="str">
        <x:v>Agree palette, typography, spacing, cards and buttons using Home and login mockups.</x:v>
      </x:c>
      <x:c r="F6" s="9" t="str">
        <x:v>Two screen mockups and shared style rules reviewed.</x:v>
      </x:c>
      <x:c r="G6" s="11" t="n">
        <x:v>4</x:v>
      </x:c>
      <x:c r="H6" s="11" t="n">
        <x:v>0</x:v>
      </x:c>
      <x:c r="I6" s="11" t="n">
        <x:v>1</x:v>
      </x:c>
      <x:c r="J6" s="10" t="n">
        <x:f>SUM(G6:I6)</x:f>
        <x:v>5</x:v>
      </x:c>
      <x:c r="K6" s="9" t="str">
        <x:v>—</x:v>
      </x:c>
      <x:c r="L6" s="12" t="str">
        <x:v>Not started</x:v>
      </x:c>
      <x:c r="M6" s="12" t="str"/>
      <x:c r="N6" s="9" t="str">
        <x:v>lib/app/theme/app_theme.dart</x:v>
      </x:c>
    </x:row>
    <x:row r="7" ht="66" customHeight="1">
      <x:c r="A7" s="9" t="str">
        <x:v>UI-02</x:v>
      </x:c>
      <x:c r="B7" s="9" t="str">
        <x:v>Foundation</x:v>
      </x:c>
      <x:c r="C7" s="9" t="str">
        <x:v>P1</x:v>
      </x:c>
      <x:c r="D7" s="9" t="str">
        <x:v>Replace placeholder theme</x:v>
      </x:c>
      <x:c r="E7" s="9" t="str">
        <x:v>Implement brand colors, type scale, surfaces, borders and component themes.</x:v>
      </x:c>
      <x:c r="F7" s="9" t="str">
        <x:v>Shared theme drives text, fields, buttons, cards and app bars.</x:v>
      </x:c>
      <x:c r="G7" s="11" t="n">
        <x:v>2</x:v>
      </x:c>
      <x:c r="H7" s="11" t="n">
        <x:v>5</x:v>
      </x:c>
      <x:c r="I7" s="11" t="n">
        <x:v>1</x:v>
      </x:c>
      <x:c r="J7" s="10" t="n">
        <x:f>SUM(G7:I7)</x:f>
        <x:v>8</x:v>
      </x:c>
      <x:c r="K7" s="9" t="str">
        <x:v>UI-01</x:v>
      </x:c>
      <x:c r="L7" s="12" t="str">
        <x:v>Not started</x:v>
      </x:c>
      <x:c r="M7" s="12" t="str"/>
      <x:c r="N7" s="9" t="str">
        <x:v>lib/app/theme/app_theme.dart</x:v>
      </x:c>
    </x:row>
    <x:row r="8" ht="66" customHeight="1">
      <x:c r="A8" s="9" t="str">
        <x:v>UI-03</x:v>
      </x:c>
      <x:c r="B8" s="9" t="str">
        <x:v>Foundation</x:v>
      </x:c>
      <x:c r="C8" s="9" t="str">
        <x:v>P1</x:v>
      </x:c>
      <x:c r="D8" s="9" t="str">
        <x:v>Create shared UI components</x:v>
      </x:c>
      <x:c r="E8" s="9" t="str">
        <x:v>Standardize screen padding, section titles, search fields, status badges and action buttons.</x:v>
      </x:c>
      <x:c r="F8" s="9" t="str">
        <x:v>Reusable components replace repeated visual patterns.</x:v>
      </x:c>
      <x:c r="G8" s="11" t="n">
        <x:v>1</x:v>
      </x:c>
      <x:c r="H8" s="11" t="n">
        <x:v>6</x:v>
      </x:c>
      <x:c r="I8" s="11" t="n">
        <x:v>1</x:v>
      </x:c>
      <x:c r="J8" s="10" t="n">
        <x:f>SUM(G8:I8)</x:f>
        <x:v>8</x:v>
      </x:c>
      <x:c r="K8" s="9" t="str">
        <x:v>UI-02</x:v>
      </x:c>
      <x:c r="L8" s="12" t="str">
        <x:v>Not started</x:v>
      </x:c>
      <x:c r="M8" s="12" t="str"/>
      <x:c r="N8" s="9" t="str">
        <x:v>lib/core/widgets/; lib/features/*/views/</x:v>
      </x:c>
    </x:row>
    <x:row r="9" ht="66" customHeight="1">
      <x:c r="A9" s="9" t="str">
        <x:v>UI-04</x:v>
      </x:c>
      <x:c r="B9" s="9" t="str">
        <x:v>Foundation</x:v>
      </x:c>
      <x:c r="C9" s="9" t="str">
        <x:v>P1</x:v>
      </x:c>
      <x:c r="D9" s="9" t="str">
        <x:v>Style loading, empty and error states</x:v>
      </x:c>
      <x:c r="E9" s="9" t="str">
        <x:v>Apply consistent visual states to existing loading/error conditions without changing data logic.</x:v>
      </x:c>
      <x:c r="F9" s="9" t="str">
        <x:v>Existing states have readable messages and stable layouts.</x:v>
      </x:c>
      <x:c r="G9" s="11" t="n">
        <x:v>1</x:v>
      </x:c>
      <x:c r="H9" s="11" t="n">
        <x:v>4</x:v>
      </x:c>
      <x:c r="I9" s="11" t="n">
        <x:v>1</x:v>
      </x:c>
      <x:c r="J9" s="10" t="n">
        <x:f>SUM(G9:I9)</x:f>
        <x:v>6</x:v>
      </x:c>
      <x:c r="K9" s="9" t="str">
        <x:v>UI-03</x:v>
      </x:c>
      <x:c r="L9" s="12" t="str">
        <x:v>Not started</x:v>
      </x:c>
      <x:c r="M9" s="12" t="str"/>
      <x:c r="N9" s="9" t="str">
        <x:v>lib/features/*/views/</x:v>
      </x:c>
    </x:row>
    <x:row r="10" ht="66" customHeight="1">
      <x:c r="A10" s="9" t="str">
        <x:v>UI-05</x:v>
      </x:c>
      <x:c r="B10" s="9" t="str">
        <x:v>Core screens</x:v>
      </x:c>
      <x:c r="C10" s="9" t="str">
        <x:v>P1</x:v>
      </x:c>
      <x:c r="D10" s="9" t="str">
        <x:v>Polish navigation and app bars</x:v>
      </x:c>
      <x:c r="E10" s="9" t="str">
        <x:v>Restyle Home/More navigation, title alignment and action spacing; preserve destinations.</x:v>
      </x:c>
      <x:c r="F10" s="9" t="str">
        <x:v>Selected tab is clear; labels and titles fit safe areas.</x:v>
      </x:c>
      <x:c r="G10" s="11" t="n">
        <x:v>1</x:v>
      </x:c>
      <x:c r="H10" s="11" t="n">
        <x:v>3</x:v>
      </x:c>
      <x:c r="I10" s="11" t="n">
        <x:v>1</x:v>
      </x:c>
      <x:c r="J10" s="10" t="n">
        <x:f>SUM(G10:I10)</x:f>
        <x:v>5</x:v>
      </x:c>
      <x:c r="K10" s="9" t="str">
        <x:v>UI-02</x:v>
      </x:c>
      <x:c r="L10" s="12" t="str">
        <x:v>Not started</x:v>
      </x:c>
      <x:c r="M10" s="12" t="str"/>
      <x:c r="N10" s="9" t="str">
        <x:v>lib/app/views/main_shell.dart</x:v>
      </x:c>
    </x:row>
    <x:row r="11" ht="66" customHeight="1">
      <x:c r="A11" s="9" t="str">
        <x:v>UI-06</x:v>
      </x:c>
      <x:c r="B11" s="9" t="str">
        <x:v>Core screens</x:v>
      </x:c>
      <x:c r="C11" s="9" t="str">
        <x:v>P1</x:v>
      </x:c>
      <x:c r="D11" s="9" t="str">
        <x:v>Redesign Home project list</x:v>
      </x:c>
      <x:c r="E11" s="9" t="str">
        <x:v>Improve project card hierarchy, logo treatment, section spacing and header actions.</x:v>
      </x:c>
      <x:c r="F11" s="9" t="str">
        <x:v>Long names fit; rows align; existing project navigation works.</x:v>
      </x:c>
      <x:c r="G11" s="11" t="n">
        <x:v>2</x:v>
      </x:c>
      <x:c r="H11" s="11" t="n">
        <x:v>5</x:v>
      </x:c>
      <x:c r="I11" s="11" t="n">
        <x:v>1</x:v>
      </x:c>
      <x:c r="J11" s="10" t="n">
        <x:f>SUM(G11:I11)</x:f>
        <x:v>8</x:v>
      </x:c>
      <x:c r="K11" s="9" t="str">
        <x:v>UI-03</x:v>
      </x:c>
      <x:c r="L11" s="12" t="str">
        <x:v>Not started</x:v>
      </x:c>
      <x:c r="M11" s="12" t="str"/>
      <x:c r="N11" s="9" t="str">
        <x:v>lib/features/home/views/home_view.dart</x:v>
      </x:c>
    </x:row>
    <x:row r="12" ht="66" customHeight="1">
      <x:c r="A12" s="9" t="str">
        <x:v>UI-07</x:v>
      </x:c>
      <x:c r="B12" s="9" t="str">
        <x:v>Core screens</x:v>
      </x:c>
      <x:c r="C12" s="9" t="str">
        <x:v>P2</x:v>
      </x:c>
      <x:c r="D12" s="9" t="str">
        <x:v>Polish Home banner carousel</x:v>
      </x:c>
      <x:c r="E12" s="9" t="str">
        <x:v>Tune banner proportions, spacing, corners and image fallback presentation.</x:v>
      </x:c>
      <x:c r="F12" s="9" t="str">
        <x:v>Banners avoid distortion; missing images retain a useful layout.</x:v>
      </x:c>
      <x:c r="G12" s="11" t="n">
        <x:v>1</x:v>
      </x:c>
      <x:c r="H12" s="11" t="n">
        <x:v>2</x:v>
      </x:c>
      <x:c r="I12" s="11" t="n">
        <x:v>1</x:v>
      </x:c>
      <x:c r="J12" s="10" t="n">
        <x:f>SUM(G12:I12)</x:f>
        <x:v>4</x:v>
      </x:c>
      <x:c r="K12" s="9" t="str">
        <x:v>UI-06</x:v>
      </x:c>
      <x:c r="L12" s="12" t="str">
        <x:v>Not started</x:v>
      </x:c>
      <x:c r="M12" s="12" t="str"/>
      <x:c r="N12" s="9" t="str">
        <x:v>lib/features/home/views/home_view.dart</x:v>
      </x:c>
    </x:row>
    <x:row r="13" ht="66" customHeight="1">
      <x:c r="A13" s="9" t="str">
        <x:v>UI-08</x:v>
      </x:c>
      <x:c r="B13" s="9" t="str">
        <x:v>Core screens</x:v>
      </x:c>
      <x:c r="C13" s="9" t="str">
        <x:v>P1</x:v>
      </x:c>
      <x:c r="D13" s="9" t="str">
        <x:v>Redesign project details</x:v>
      </x:c>
      <x:c r="E13" s="9" t="str">
        <x:v>Improve unit-type chips, section headings, search field and unit rows.</x:v>
      </x:c>
      <x:c r="F13" s="9" t="str">
        <x:v>Unit names and statuses are scannable without clipping.</x:v>
      </x:c>
      <x:c r="G13" s="11" t="n">
        <x:v>2</x:v>
      </x:c>
      <x:c r="H13" s="11" t="n">
        <x:v>5</x:v>
      </x:c>
      <x:c r="I13" s="11" t="n">
        <x:v>1</x:v>
      </x:c>
      <x:c r="J13" s="10" t="n">
        <x:f>SUM(G13:I13)</x:f>
        <x:v>8</x:v>
      </x:c>
      <x:c r="K13" s="9" t="str">
        <x:v>UI-03</x:v>
      </x:c>
      <x:c r="L13" s="12" t="str">
        <x:v>Not started</x:v>
      </x:c>
      <x:c r="M13" s="12" t="str"/>
      <x:c r="N13" s="9" t="str">
        <x:v>lib/features/projects/views/project_detail_view.dart</x:v>
      </x:c>
    </x:row>
    <x:row r="14" ht="66" customHeight="1">
      <x:c r="A14" s="9" t="str">
        <x:v>UI-09</x:v>
      </x:c>
      <x:c r="B14" s="9" t="str">
        <x:v>Core screens</x:v>
      </x:c>
      <x:c r="C14" s="9" t="str">
        <x:v>P1</x:v>
      </x:c>
      <x:c r="D14" s="9" t="str">
        <x:v>Polish unit search</x:v>
      </x:c>
      <x:c r="E14" s="9" t="str">
        <x:v>Restyle app-bar search and results with consistent row and badge layout.</x:v>
      </x:c>
      <x:c r="F14" s="9" t="str">
        <x:v>Keyboard and long queries do not hide or clip search controls.</x:v>
      </x:c>
      <x:c r="G14" s="11" t="n">
        <x:v>1</x:v>
      </x:c>
      <x:c r="H14" s="11" t="n">
        <x:v>3</x:v>
      </x:c>
      <x:c r="I14" s="11" t="n">
        <x:v>1</x:v>
      </x:c>
      <x:c r="J14" s="10" t="n">
        <x:f>SUM(G14:I14)</x:f>
        <x:v>5</x:v>
      </x:c>
      <x:c r="K14" s="9" t="str">
        <x:v>UI-03</x:v>
      </x:c>
      <x:c r="L14" s="12" t="str">
        <x:v>Not started</x:v>
      </x:c>
      <x:c r="M14" s="12" t="str"/>
      <x:c r="N14" s="9" t="str">
        <x:v>lib/features/projects/views/unit_search_view.dart</x:v>
      </x:c>
    </x:row>
    <x:row r="15" ht="66" customHeight="1">
      <x:c r="A15" s="9" t="str">
        <x:v>UI-10</x:v>
      </x:c>
      <x:c r="B15" s="9" t="str">
        <x:v>Core screens</x:v>
      </x:c>
      <x:c r="C15" s="9" t="str">
        <x:v>P1</x:v>
      </x:c>
      <x:c r="D15" s="9" t="str">
        <x:v>Redesign unit details and actions</x:v>
      </x:c>
      <x:c r="E15" s="9" t="str">
        <x:v>Group status and existing actions; improve hierarchy and button spacing.</x:v>
      </x:c>
      <x:c r="F15" s="9" t="str">
        <x:v>Existing action eligibility is preserved; key actions are clear.</x:v>
      </x:c>
      <x:c r="G15" s="11" t="n">
        <x:v>2</x:v>
      </x:c>
      <x:c r="H15" s="11" t="n">
        <x:v>4</x:v>
      </x:c>
      <x:c r="I15" s="11" t="n">
        <x:v>1</x:v>
      </x:c>
      <x:c r="J15" s="10" t="n">
        <x:f>SUM(G15:I15)</x:f>
        <x:v>7</x:v>
      </x:c>
      <x:c r="K15" s="9" t="str">
        <x:v>UI-03</x:v>
      </x:c>
      <x:c r="L15" s="12" t="str">
        <x:v>Not started</x:v>
      </x:c>
      <x:c r="M15" s="12" t="str"/>
      <x:c r="N15" s="9" t="str">
        <x:v>lib/features/projects/views/unit_detail_view.dart</x:v>
      </x:c>
    </x:row>
    <x:row r="16" ht="66" customHeight="1">
      <x:c r="A16" s="9" t="str">
        <x:v>UI-11</x:v>
      </x:c>
      <x:c r="B16" s="9" t="str">
        <x:v>Core screens</x:v>
      </x:c>
      <x:c r="C16" s="9" t="str">
        <x:v>P2</x:v>
      </x:c>
      <x:c r="D16" s="9" t="str">
        <x:v>Polish comments and photos</x:v>
      </x:c>
      <x:c r="E16" s="9" t="str">
        <x:v>Improve composer, attachment thumbnails, remove controls and comment separation.</x:v>
      </x:c>
      <x:c r="F16" s="9" t="str">
        <x:v>Photo controls are visible; composer fits small screens.</x:v>
      </x:c>
      <x:c r="G16" s="11" t="n">
        <x:v>1</x:v>
      </x:c>
      <x:c r="H16" s="11" t="n">
        <x:v>4</x:v>
      </x:c>
      <x:c r="I16" s="11" t="n">
        <x:v>1</x:v>
      </x:c>
      <x:c r="J16" s="10" t="n">
        <x:f>SUM(G16:I16)</x:f>
        <x:v>6</x:v>
      </x:c>
      <x:c r="K16" s="9" t="str">
        <x:v>UI-10</x:v>
      </x:c>
      <x:c r="L16" s="12" t="str">
        <x:v>Not started</x:v>
      </x:c>
      <x:c r="M16" s="12" t="str"/>
      <x:c r="N16" s="9" t="str">
        <x:v>lib/features/projects/views/unit_detail_view.dart</x:v>
      </x:c>
    </x:row>
    <x:row r="17" ht="66" customHeight="1">
      <x:c r="A17" s="9" t="str">
        <x:v>UI-12</x:v>
      </x:c>
      <x:c r="B17" s="9" t="str">
        <x:v>Core screens</x:v>
      </x:c>
      <x:c r="C17" s="9" t="str">
        <x:v>P2</x:v>
      </x:c>
      <x:c r="D17" s="9" t="str">
        <x:v>Polish unit-type details</x:v>
      </x:c>
      <x:c r="E17" s="9" t="str">
        <x:v>Improve hero image proportions, metadata sections and related unit rows.</x:v>
      </x:c>
      <x:c r="F17" s="9" t="str">
        <x:v>Image fallback and long text maintain consistent spacing.</x:v>
      </x:c>
      <x:c r="G17" s="11" t="n">
        <x:v>1</x:v>
      </x:c>
      <x:c r="H17" s="11" t="n">
        <x:v>3</x:v>
      </x:c>
      <x:c r="I17" s="11" t="n">
        <x:v>1</x:v>
      </x:c>
      <x:c r="J17" s="10" t="n">
        <x:f>SUM(G17:I17)</x:f>
        <x:v>5</x:v>
      </x:c>
      <x:c r="K17" s="9" t="str">
        <x:v>UI-03</x:v>
      </x:c>
      <x:c r="L17" s="12" t="str">
        <x:v>Not started</x:v>
      </x:c>
      <x:c r="M17" s="12" t="str"/>
      <x:c r="N17" s="9" t="str">
        <x:v>lib/features/projects/views/unit_type_detail_view.dart</x:v>
      </x:c>
    </x:row>
    <x:row r="18" ht="66" customHeight="1">
      <x:c r="A18" s="9" t="str">
        <x:v>UI-13</x:v>
      </x:c>
      <x:c r="B18" s="9" t="str">
        <x:v>Core screens</x:v>
      </x:c>
      <x:c r="C18" s="9" t="str">
        <x:v>P2</x:v>
      </x:c>
      <x:c r="D18" s="9" t="str">
        <x:v>Polish units grouped by status</x:v>
      </x:c>
      <x:c r="E18" s="9" t="str">
        <x:v>Improve status section headers and wrapped unit chips; retain grouped-list layout.</x:v>
      </x:c>
      <x:c r="F18" s="9" t="str">
        <x:v>Groups remain readable; status has text as well as color.</x:v>
      </x:c>
      <x:c r="G18" s="11" t="n">
        <x:v>1</x:v>
      </x:c>
      <x:c r="H18" s="11" t="n">
        <x:v>3</x:v>
      </x:c>
      <x:c r="I18" s="11" t="n">
        <x:v>1</x:v>
      </x:c>
      <x:c r="J18" s="10" t="n">
        <x:f>SUM(G18:I18)</x:f>
        <x:v>5</x:v>
      </x:c>
      <x:c r="K18" s="9" t="str">
        <x:v>UI-03</x:v>
      </x:c>
      <x:c r="L18" s="12" t="str">
        <x:v>Not started</x:v>
      </x:c>
      <x:c r="M18" s="12" t="str"/>
      <x:c r="N18" s="9" t="str">
        <x:v>lib/features/projects/views/floor_plan_view.dart</x:v>
      </x:c>
    </x:row>
    <x:row r="19" ht="66" customHeight="1">
      <x:c r="A19" s="9" t="str">
        <x:v>UI-14</x:v>
      </x:c>
      <x:c r="B19" s="9" t="str">
        <x:v>Authentication</x:v>
      </x:c>
      <x:c r="C19" s="9" t="str">
        <x:v>P1</x:v>
      </x:c>
      <x:c r="D19" s="9" t="str">
        <x:v>Redesign login</x:v>
      </x:c>
      <x:c r="E19" s="9" t="str">
        <x:v>Use existing logo, stronger hierarchy, consistent fields and primary action styling.</x:v>
      </x:c>
      <x:c r="F19" s="9" t="str">
        <x:v>Login fits keyboard-open and small-screen layouts.</x:v>
      </x:c>
      <x:c r="G19" s="11" t="n">
        <x:v>2</x:v>
      </x:c>
      <x:c r="H19" s="11" t="n">
        <x:v>4</x:v>
      </x:c>
      <x:c r="I19" s="11" t="n">
        <x:v>1</x:v>
      </x:c>
      <x:c r="J19" s="10" t="n">
        <x:f>SUM(G19:I19)</x:f>
        <x:v>7</x:v>
      </x:c>
      <x:c r="K19" s="9" t="str">
        <x:v>UI-02</x:v>
      </x:c>
      <x:c r="L19" s="12" t="str">
        <x:v>Not started</x:v>
      </x:c>
      <x:c r="M19" s="12" t="str"/>
      <x:c r="N19" s="9" t="str">
        <x:v>lib/features/auth/views/login_view.dart</x:v>
      </x:c>
    </x:row>
    <x:row r="20" ht="66" customHeight="1">
      <x:c r="A20" s="9" t="str">
        <x:v>UI-15</x:v>
      </x:c>
      <x:c r="B20" s="9" t="str">
        <x:v>Authentication</x:v>
      </x:c>
      <x:c r="C20" s="9" t="str">
        <x:v>P2</x:v>
      </x:c>
      <x:c r="D20" s="9" t="str">
        <x:v>Polish password screens</x:v>
      </x:c>
      <x:c r="E20" s="9" t="str">
        <x:v>Apply consistent step headings, fields, error presentation and submit buttons.</x:v>
      </x:c>
      <x:c r="F20" s="9" t="str">
        <x:v>Reset/change-password stages remain readable and usable.</x:v>
      </x:c>
      <x:c r="G20" s="11" t="n">
        <x:v>1</x:v>
      </x:c>
      <x:c r="H20" s="11" t="n">
        <x:v>4</x:v>
      </x:c>
      <x:c r="I20" s="11" t="n">
        <x:v>1</x:v>
      </x:c>
      <x:c r="J20" s="10" t="n">
        <x:f>SUM(G20:I20)</x:f>
        <x:v>6</x:v>
      </x:c>
      <x:c r="K20" s="9" t="str">
        <x:v>UI-03</x:v>
      </x:c>
      <x:c r="L20" s="12" t="str">
        <x:v>Not started</x:v>
      </x:c>
      <x:c r="M20" s="12" t="str"/>
      <x:c r="N20" s="9" t="str">
        <x:v>lib/features/auth/views/forgot_password_view.dart; change_password_view.dart</x:v>
      </x:c>
    </x:row>
    <x:row r="21" ht="66" customHeight="1">
      <x:c r="A21" s="9" t="str">
        <x:v>UI-16</x:v>
      </x:c>
      <x:c r="B21" s="9" t="str">
        <x:v>Authentication</x:v>
      </x:c>
      <x:c r="C21" s="9" t="str">
        <x:v>P2</x:v>
      </x:c>
      <x:c r="D21" s="9" t="str">
        <x:v>Polish profile and members</x:v>
      </x:c>
      <x:c r="E21" s="9" t="str">
        <x:v>Improve avatar, account sections, edit controls and member rows.</x:v>
      </x:c>
      <x:c r="F21" s="9" t="str">
        <x:v>Profile actions and member names fit without overlap.</x:v>
      </x:c>
      <x:c r="G21" s="11" t="n">
        <x:v>1</x:v>
      </x:c>
      <x:c r="H21" s="11" t="n">
        <x:v>4</x:v>
      </x:c>
      <x:c r="I21" s="11" t="n">
        <x:v>1</x:v>
      </x:c>
      <x:c r="J21" s="10" t="n">
        <x:f>SUM(G21:I21)</x:f>
        <x:v>6</x:v>
      </x:c>
      <x:c r="K21" s="9" t="str">
        <x:v>UI-03</x:v>
      </x:c>
      <x:c r="L21" s="12" t="str">
        <x:v>Not started</x:v>
      </x:c>
      <x:c r="M21" s="12" t="str"/>
      <x:c r="N21" s="9" t="str">
        <x:v>lib/features/auth/views/profile_view.dart; members_view.dart</x:v>
      </x:c>
    </x:row>
    <x:row r="22" ht="66" customHeight="1">
      <x:c r="A22" s="9" t="str">
        <x:v>UI-17</x:v>
      </x:c>
      <x:c r="B22" s="9" t="str">
        <x:v>Requests</x:v>
      </x:c>
      <x:c r="C22" s="9" t="str">
        <x:v>P1</x:v>
      </x:c>
      <x:c r="D22" s="9" t="str">
        <x:v>Polish Hold request list</x:v>
      </x:c>
      <x:c r="E22" s="9" t="str">
        <x:v>Improve search, request row hierarchy, status badges and existing action layout.</x:v>
      </x:c>
      <x:c r="F22" s="9" t="str">
        <x:v>Requests and actions fit long labels and empty results.</x:v>
      </x:c>
      <x:c r="G22" s="11" t="n">
        <x:v>1</x:v>
      </x:c>
      <x:c r="H22" s="11" t="n">
        <x:v>3</x:v>
      </x:c>
      <x:c r="I22" s="11" t="n">
        <x:v>1</x:v>
      </x:c>
      <x:c r="J22" s="10" t="n">
        <x:f>SUM(G22:I22)</x:f>
        <x:v>5</x:v>
      </x:c>
      <x:c r="K22" s="9" t="str">
        <x:v>UI-03</x:v>
      </x:c>
      <x:c r="L22" s="12" t="str">
        <x:v>Not started</x:v>
      </x:c>
      <x:c r="M22" s="12" t="str"/>
      <x:c r="N22" s="9" t="str">
        <x:v>lib/features/hold/views/hold_view.dart</x:v>
      </x:c>
    </x:row>
    <x:row r="23" ht="66" customHeight="1">
      <x:c r="A23" s="9" t="str">
        <x:v>UI-18</x:v>
      </x:c>
      <x:c r="B23" s="9" t="str">
        <x:v>Requests</x:v>
      </x:c>
      <x:c r="C23" s="9" t="str">
        <x:v>P1</x:v>
      </x:c>
      <x:c r="D23" s="9" t="str">
        <x:v>Polish Deposit request list</x:v>
      </x:c>
      <x:c r="E23" s="9" t="str">
        <x:v>Improve search, status, request metadata and existing action layout.</x:v>
      </x:c>
      <x:c r="F23" s="9" t="str">
        <x:v>Deposit actions remain available under existing conditions.</x:v>
      </x:c>
      <x:c r="G23" s="11" t="n">
        <x:v>1</x:v>
      </x:c>
      <x:c r="H23" s="11" t="n">
        <x:v>4</x:v>
      </x:c>
      <x:c r="I23" s="11" t="n">
        <x:v>1</x:v>
      </x:c>
      <x:c r="J23" s="10" t="n">
        <x:f>SUM(G23:I23)</x:f>
        <x:v>6</x:v>
      </x:c>
      <x:c r="K23" s="9" t="str">
        <x:v>UI-03</x:v>
      </x:c>
      <x:c r="L23" s="12" t="str">
        <x:v>Not started</x:v>
      </x:c>
      <x:c r="M23" s="12" t="str"/>
      <x:c r="N23" s="9" t="str">
        <x:v>lib/features/deposit/views/deposit_view.dart</x:v>
      </x:c>
    </x:row>
    <x:row r="24" ht="66" customHeight="1">
      <x:c r="A24" s="9" t="str">
        <x:v>UI-19</x:v>
      </x:c>
      <x:c r="B24" s="9" t="str">
        <x:v>Requests</x:v>
      </x:c>
      <x:c r="C24" s="9" t="str">
        <x:v>P1</x:v>
      </x:c>
      <x:c r="D24" s="9" t="str">
        <x:v>Polish Contract request list</x:v>
      </x:c>
      <x:c r="E24" s="9" t="str">
        <x:v>Improve search, rows, status and document/action affordances.</x:v>
      </x:c>
      <x:c r="F24" s="9" t="str">
        <x:v>Contract entries and existing actions are visually distinct.</x:v>
      </x:c>
      <x:c r="G24" s="11" t="n">
        <x:v>1</x:v>
      </x:c>
      <x:c r="H24" s="11" t="n">
        <x:v>3</x:v>
      </x:c>
      <x:c r="I24" s="11" t="n">
        <x:v>1</x:v>
      </x:c>
      <x:c r="J24" s="10" t="n">
        <x:f>SUM(G24:I24)</x:f>
        <x:v>5</x:v>
      </x:c>
      <x:c r="K24" s="9" t="str">
        <x:v>UI-03</x:v>
      </x:c>
      <x:c r="L24" s="12" t="str">
        <x:v>Not started</x:v>
      </x:c>
      <x:c r="M24" s="12" t="str"/>
      <x:c r="N24" s="9" t="str">
        <x:v>lib/features/contract_request/views/contract_request_view.dart</x:v>
      </x:c>
    </x:row>
    <x:row r="25" ht="66" customHeight="1">
      <x:c r="A25" s="9" t="str">
        <x:v>UI-20</x:v>
      </x:c>
      <x:c r="B25" s="9" t="str">
        <x:v>Requests</x:v>
      </x:c>
      <x:c r="C25" s="9" t="str">
        <x:v>P2</x:v>
      </x:c>
      <x:c r="D25" s="9" t="str">
        <x:v>Polish Hold request form</x:v>
      </x:c>
      <x:c r="E25" s="9" t="str">
        <x:v>Group unit summary, reason field, errors and submit action.</x:v>
      </x:c>
      <x:c r="F25" s="9" t="str">
        <x:v>Keyboard-safe layout; existing errors appear close to the form.</x:v>
      </x:c>
      <x:c r="G25" s="11" t="n">
        <x:v>1</x:v>
      </x:c>
      <x:c r="H25" s="11" t="n">
        <x:v>2</x:v>
      </x:c>
      <x:c r="I25" s="11" t="n">
        <x:v>1</x:v>
      </x:c>
      <x:c r="J25" s="10" t="n">
        <x:f>SUM(G25:I25)</x:f>
        <x:v>4</x:v>
      </x:c>
      <x:c r="K25" s="9" t="str">
        <x:v>UI-03</x:v>
      </x:c>
      <x:c r="L25" s="12" t="str">
        <x:v>Not started</x:v>
      </x:c>
      <x:c r="M25" s="12" t="str"/>
      <x:c r="N25" s="9" t="str">
        <x:v>lib/features/hold/views/hold_request_form_view.dart</x:v>
      </x:c>
    </x:row>
    <x:row r="26" ht="66" customHeight="1">
      <x:c r="A26" s="9" t="str">
        <x:v>UI-21</x:v>
      </x:c>
      <x:c r="B26" s="9" t="str">
        <x:v>Requests</x:v>
      </x:c>
      <x:c r="C26" s="9" t="str">
        <x:v>P1</x:v>
      </x:c>
      <x:c r="D26" s="9" t="str">
        <x:v>Redesign Deposit request form</x:v>
      </x:c>
      <x:c r="E26" s="9" t="str">
        <x:v>Section customer, payment and optional partner fields; improve labels and spacing.</x:v>
      </x:c>
      <x:c r="F26" s="9" t="str">
        <x:v>Every existing field is retained; expanded sections remain readable.</x:v>
      </x:c>
      <x:c r="G26" s="11" t="n">
        <x:v>2</x:v>
      </x:c>
      <x:c r="H26" s="11" t="n">
        <x:v>8</x:v>
      </x:c>
      <x:c r="I26" s="11" t="n">
        <x:v>2</x:v>
      </x:c>
      <x:c r="J26" s="10" t="n">
        <x:f>SUM(G26:I26)</x:f>
        <x:v>12</x:v>
      </x:c>
      <x:c r="K26" s="9" t="str">
        <x:v>UI-03</x:v>
      </x:c>
      <x:c r="L26" s="12" t="str">
        <x:v>Not started</x:v>
      </x:c>
      <x:c r="M26" s="12" t="str"/>
      <x:c r="N26" s="9" t="str">
        <x:v>lib/features/deposit/views/deposit_request_form_view.dart</x:v>
      </x:c>
    </x:row>
    <x:row r="27" ht="66" customHeight="1">
      <x:c r="A27" s="9" t="str">
        <x:v>UI-22</x:v>
      </x:c>
      <x:c r="B27" s="9" t="str">
        <x:v>Requests</x:v>
      </x:c>
      <x:c r="C27" s="9" t="str">
        <x:v>P1</x:v>
      </x:c>
      <x:c r="D27" s="9" t="str">
        <x:v>Polish change-unit/deposit form</x:v>
      </x:c>
      <x:c r="E27" s="9" t="str">
        <x:v>Improve unit selection, terms, payment sections and optional partner layout.</x:v>
      </x:c>
      <x:c r="F27" s="9" t="str">
        <x:v>Search results and expanded fields fit keyboard-open layouts.</x:v>
      </x:c>
      <x:c r="G27" s="11" t="n">
        <x:v>2</x:v>
      </x:c>
      <x:c r="H27" s="11" t="n">
        <x:v>6</x:v>
      </x:c>
      <x:c r="I27" s="11" t="n">
        <x:v>2</x:v>
      </x:c>
      <x:c r="J27" s="10" t="n">
        <x:f>SUM(G27:I27)</x:f>
        <x:v>10</x:v>
      </x:c>
      <x:c r="K27" s="9" t="str">
        <x:v>UI-21</x:v>
      </x:c>
      <x:c r="L27" s="12" t="str">
        <x:v>Not started</x:v>
      </x:c>
      <x:c r="M27" s="12" t="str"/>
      <x:c r="N27" s="9" t="str">
        <x:v>lib/features/deposit/views/change_unit_deposit_view.dart</x:v>
      </x:c>
    </x:row>
    <x:row r="28" ht="66" customHeight="1">
      <x:c r="A28" s="9" t="str">
        <x:v>UI-23</x:v>
      </x:c>
      <x:c r="B28" s="9" t="str">
        <x:v>Requests</x:v>
      </x:c>
      <x:c r="C28" s="9" t="str">
        <x:v>P1</x:v>
      </x:c>
      <x:c r="D28" s="9" t="str">
        <x:v>Polish Contract request form</x:v>
      </x:c>
      <x:c r="E28" s="9" t="str">
        <x:v>Improve deposit summary, date rows, attachment controls and submit action.</x:v>
      </x:c>
      <x:c r="F28" s="9" t="str">
        <x:v>Dates are clear; attachment removal controls do not clip.</x:v>
      </x:c>
      <x:c r="G28" s="11" t="n">
        <x:v>1</x:v>
      </x:c>
      <x:c r="H28" s="11" t="n">
        <x:v>5</x:v>
      </x:c>
      <x:c r="I28" s="11" t="n">
        <x:v>1</x:v>
      </x:c>
      <x:c r="J28" s="10" t="n">
        <x:f>SUM(G28:I28)</x:f>
        <x:v>7</x:v>
      </x:c>
      <x:c r="K28" s="9" t="str">
        <x:v>UI-03</x:v>
      </x:c>
      <x:c r="L28" s="12" t="str">
        <x:v>Not started</x:v>
      </x:c>
      <x:c r="M28" s="12" t="str"/>
      <x:c r="N28" s="9" t="str">
        <x:v>lib/features/contract_request/views/contract_request_form_view.dart</x:v>
      </x:c>
    </x:row>
    <x:row r="29" ht="66" customHeight="1">
      <x:c r="A29" s="9" t="str">
        <x:v>UI-24</x:v>
      </x:c>
      <x:c r="B29" s="9" t="str">
        <x:v>Requests</x:v>
      </x:c>
      <x:c r="C29" s="9" t="str">
        <x:v>P2</x:v>
      </x:c>
      <x:c r="D29" s="9" t="str">
        <x:v>Polish contract viewer shell</x:v>
      </x:c>
      <x:c r="E29" s="9" t="str">
        <x:v>Style app bar and existing loading/error presentation around PDF viewer.</x:v>
      </x:c>
      <x:c r="F29" s="9" t="str">
        <x:v>Viewer uses available space; loading/error text is readable.</x:v>
      </x:c>
      <x:c r="G29" s="11" t="n">
        <x:v>0.5</x:v>
      </x:c>
      <x:c r="H29" s="11" t="n">
        <x:v>1.5</x:v>
      </x:c>
      <x:c r="I29" s="11" t="n">
        <x:v>1</x:v>
      </x:c>
      <x:c r="J29" s="10" t="n">
        <x:f>SUM(G29:I29)</x:f>
        <x:v>3</x:v>
      </x:c>
      <x:c r="K29" s="9" t="str">
        <x:v>UI-02</x:v>
      </x:c>
      <x:c r="L29" s="12" t="str">
        <x:v>Not started</x:v>
      </x:c>
      <x:c r="M29" s="12" t="str"/>
      <x:c r="N29" s="9" t="str">
        <x:v>lib/features/contract_request/views/contract_pdf_view.dart</x:v>
      </x:c>
    </x:row>
    <x:row r="30" ht="66" customHeight="1">
      <x:c r="A30" s="9" t="str">
        <x:v>UI-25</x:v>
      </x:c>
      <x:c r="B30" s="9" t="str">
        <x:v>Secondary screens</x:v>
      </x:c>
      <x:c r="C30" s="9" t="str">
        <x:v>P2</x:v>
      </x:c>
      <x:c r="D30" s="9" t="str">
        <x:v>Group and polish More menu</x:v>
      </x:c>
      <x:c r="E30" s="9" t="str">
        <x:v>Add visual group hierarchy, consistent icons and row spacing; retain routes.</x:v>
      </x:c>
      <x:c r="F30" s="9" t="str">
        <x:v>Account, requests and tools are easy to scan.</x:v>
      </x:c>
      <x:c r="G30" s="11" t="n">
        <x:v>1</x:v>
      </x:c>
      <x:c r="H30" s="11" t="n">
        <x:v>3</x:v>
      </x:c>
      <x:c r="I30" s="11" t="n">
        <x:v>1</x:v>
      </x:c>
      <x:c r="J30" s="10" t="n">
        <x:f>SUM(G30:I30)</x:f>
        <x:v>5</x:v>
      </x:c>
      <x:c r="K30" s="9" t="str">
        <x:v>UI-03</x:v>
      </x:c>
      <x:c r="L30" s="12" t="str">
        <x:v>Not started</x:v>
      </x:c>
      <x:c r="M30" s="12" t="str"/>
      <x:c r="N30" s="9" t="str">
        <x:v>lib/features/more/views/more_view.dart</x:v>
      </x:c>
    </x:row>
    <x:row r="31" ht="66" customHeight="1">
      <x:c r="A31" s="9" t="str">
        <x:v>UI-26</x:v>
      </x:c>
      <x:c r="B31" s="9" t="str">
        <x:v>Secondary screens</x:v>
      </x:c>
      <x:c r="C31" s="9" t="str">
        <x:v>P2</x:v>
      </x:c>
      <x:c r="D31" s="9" t="str">
        <x:v>Polish notifications</x:v>
      </x:c>
      <x:c r="E31" s="9" t="str">
        <x:v>Improve notification row spacing, text hierarchy and existing read-state styling.</x:v>
      </x:c>
      <x:c r="F31" s="9" t="str">
        <x:v>Long messages and timestamps fit without overlap.</x:v>
      </x:c>
      <x:c r="G31" s="11" t="n">
        <x:v>1</x:v>
      </x:c>
      <x:c r="H31" s="11" t="n">
        <x:v>2</x:v>
      </x:c>
      <x:c r="I31" s="11" t="n">
        <x:v>1</x:v>
      </x:c>
      <x:c r="J31" s="10" t="n">
        <x:f>SUM(G31:I31)</x:f>
        <x:v>4</x:v>
      </x:c>
      <x:c r="K31" s="9" t="str">
        <x:v>UI-03</x:v>
      </x:c>
      <x:c r="L31" s="12" t="str">
        <x:v>Not started</x:v>
      </x:c>
      <x:c r="M31" s="12" t="str"/>
      <x:c r="N31" s="9" t="str">
        <x:v>lib/features/notification/views/notification_view.dart</x:v>
      </x:c>
    </x:row>
    <x:row r="32" ht="66" customHeight="1">
      <x:c r="A32" s="9" t="str">
        <x:v>UI-27</x:v>
      </x:c>
      <x:c r="B32" s="9" t="str">
        <x:v>Secondary screens</x:v>
      </x:c>
      <x:c r="C32" s="9" t="str">
        <x:v>P2</x:v>
      </x:c>
      <x:c r="D32" s="9" t="str">
        <x:v>Polish announcements and detail</x:v>
      </x:c>
      <x:c r="E32" s="9" t="str">
        <x:v>Improve image cards, title/body hierarchy and image error placeholders.</x:v>
      </x:c>
      <x:c r="F32" s="9" t="str">
        <x:v>Missing images do not create blank visual gaps.</x:v>
      </x:c>
      <x:c r="G32" s="11" t="n">
        <x:v>1</x:v>
      </x:c>
      <x:c r="H32" s="11" t="n">
        <x:v>4</x:v>
      </x:c>
      <x:c r="I32" s="11" t="n">
        <x:v>1</x:v>
      </x:c>
      <x:c r="J32" s="10" t="n">
        <x:f>SUM(G32:I32)</x:f>
        <x:v>6</x:v>
      </x:c>
      <x:c r="K32" s="9" t="str">
        <x:v>UI-03</x:v>
      </x:c>
      <x:c r="L32" s="12" t="str">
        <x:v>Not started</x:v>
      </x:c>
      <x:c r="M32" s="12" t="str"/>
      <x:c r="N32" s="9" t="str">
        <x:v>lib/features/post/views/post_view.dart; post_detail_view.dart</x:v>
      </x:c>
    </x:row>
    <x:row r="33" ht="66" customHeight="1">
      <x:c r="A33" s="9" t="str">
        <x:v>UI-28</x:v>
      </x:c>
      <x:c r="B33" s="9" t="str">
        <x:v>Secondary screens</x:v>
      </x:c>
      <x:c r="C33" s="9" t="str">
        <x:v>P2</x:v>
      </x:c>
      <x:c r="D33" s="9" t="str">
        <x:v>Polish loan calculator</x:v>
      </x:c>
      <x:c r="E33" s="9" t="str">
        <x:v>Group inputs and present existing calculation results in a clear result panel.</x:v>
      </x:c>
      <x:c r="F33" s="9" t="str">
        <x:v>Values and units align; existing calculation behavior is preserved.</x:v>
      </x:c>
      <x:c r="G33" s="11" t="n">
        <x:v>1</x:v>
      </x:c>
      <x:c r="H33" s="11" t="n">
        <x:v>2</x:v>
      </x:c>
      <x:c r="I33" s="11" t="n">
        <x:v>1</x:v>
      </x:c>
      <x:c r="J33" s="10" t="n">
        <x:f>SUM(G33:I33)</x:f>
        <x:v>4</x:v>
      </x:c>
      <x:c r="K33" s="9" t="str">
        <x:v>UI-03</x:v>
      </x:c>
      <x:c r="L33" s="12" t="str">
        <x:v>Not started</x:v>
      </x:c>
      <x:c r="M33" s="12" t="str"/>
      <x:c r="N33" s="9" t="str">
        <x:v>lib/features/more/views/loan_calculator_view.dart</x:v>
      </x:c>
    </x:row>
    <x:row r="34" ht="66" customHeight="1">
      <x:c r="A34" s="9" t="str">
        <x:v>UI-29</x:v>
      </x:c>
      <x:c r="B34" s="9" t="str">
        <x:v>Secondary screens</x:v>
      </x:c>
      <x:c r="C34" s="9" t="str">
        <x:v>P3</x:v>
      </x:c>
      <x:c r="D34" s="9" t="str">
        <x:v>Polish scanner, support and About</x:v>
      </x:c>
      <x:c r="E34" s="9" t="str">
        <x:v>Improve scanner prompts, support action rows and About branding.</x:v>
      </x:c>
      <x:c r="F34" s="9" t="str">
        <x:v>Existing actions remain visible; layouts follow the shared theme.</x:v>
      </x:c>
      <x:c r="G34" s="11" t="n">
        <x:v>1</x:v>
      </x:c>
      <x:c r="H34" s="11" t="n">
        <x:v>3</x:v>
      </x:c>
      <x:c r="I34" s="11" t="n">
        <x:v>1</x:v>
      </x:c>
      <x:c r="J34" s="10" t="n">
        <x:f>SUM(G34:I34)</x:f>
        <x:v>5</x:v>
      </x:c>
      <x:c r="K34" s="9" t="str">
        <x:v>UI-03</x:v>
      </x:c>
      <x:c r="L34" s="12" t="str">
        <x:v>Not started</x:v>
      </x:c>
      <x:c r="M34" s="12" t="str"/>
      <x:c r="N34" s="9" t="str">
        <x:v>lib/features/more/views/document_scanner_view.dart; support_center_view.dart; about_view.dart</x:v>
      </x:c>
    </x:row>
    <x:row r="35" ht="66" customHeight="1">
      <x:c r="A35" s="9" t="str">
        <x:v>UI-30</x:v>
      </x:c>
      <x:c r="B35" s="9" t="str">
        <x:v>Secondary screens</x:v>
      </x:c>
      <x:c r="C35" s="9" t="str">
        <x:v>P2</x:v>
      </x:c>
      <x:c r="D35" s="9" t="str">
        <x:v>Polish splash and app dialogs</x:v>
      </x:c>
      <x:c r="E35" s="9" t="str">
        <x:v>Use existing logo on splash; style app-owned update/reason dialogs and snackbars.</x:v>
      </x:c>
      <x:c r="F35" s="9" t="str">
        <x:v>Dialog content fits; system permission dialogs remain OS-controlled.</x:v>
      </x:c>
      <x:c r="G35" s="11" t="n">
        <x:v>1</x:v>
      </x:c>
      <x:c r="H35" s="11" t="n">
        <x:v>3</x:v>
      </x:c>
      <x:c r="I35" s="11" t="n">
        <x:v>1</x:v>
      </x:c>
      <x:c r="J35" s="10" t="n">
        <x:f>SUM(G35:I35)</x:f>
        <x:v>5</x:v>
      </x:c>
      <x:c r="K35" s="9" t="str">
        <x:v>UI-02</x:v>
      </x:c>
      <x:c r="L35" s="12" t="str">
        <x:v>Not started</x:v>
      </x:c>
      <x:c r="M35" s="12" t="str"/>
      <x:c r="N35" s="9" t="str">
        <x:v>lib/features/splash/views/splash_view.dart; lib/core/widgets/reason_dialog.dart; lib/features/auth/controllers/auth_controller.dart</x:v>
      </x:c>
    </x:row>
    <x:row r="36" ht="66" customHeight="1">
      <x:c r="A36" s="9" t="str">
        <x:v>UI-31</x:v>
      </x:c>
      <x:c r="B36" s="9" t="str">
        <x:v>Visual QA</x:v>
      </x:c>
      <x:c r="C36" s="9" t="str">
        <x:v>P1</x:v>
      </x:c>
      <x:c r="D36" s="9" t="str">
        <x:v>Fix responsive and language layout issues</x:v>
      </x:c>
      <x:c r="E36" s="9" t="str">
        <x:v>Review all revised screens at 320/360/390/430 logical-pixel widths in English and Khmer.</x:v>
      </x:c>
      <x:c r="F36" s="9" t="str">
        <x:v>No overflow, clipped Khmer glyphs, hidden actions or keyboard obstruction.</x:v>
      </x:c>
      <x:c r="G36" s="11" t="n">
        <x:v>0</x:v>
      </x:c>
      <x:c r="H36" s="11" t="n">
        <x:v>6</x:v>
      </x:c>
      <x:c r="I36" s="11" t="n">
        <x:v>4</x:v>
      </x:c>
      <x:c r="J36" s="10" t="n">
        <x:f>SUM(G36:I36)</x:f>
        <x:v>10</x:v>
      </x:c>
      <x:c r="K36" s="9" t="str">
        <x:v>UI-05–UI-30</x:v>
      </x:c>
      <x:c r="L36" s="12" t="str">
        <x:v>Not started</x:v>
      </x:c>
      <x:c r="M36" s="12" t="str"/>
      <x:c r="N36" s="9" t="str">
        <x:v>lib/features/*/views/; lib/l10n/</x:v>
      </x:c>
    </x:row>
    <x:row r="37" ht="66" customHeight="1">
      <x:c r="A37" s="9" t="str">
        <x:v>UI-32</x:v>
      </x:c>
      <x:c r="B37" s="9" t="str">
        <x:v>Visual QA</x:v>
      </x:c>
      <x:c r="C37" s="9" t="str">
        <x:v>P1</x:v>
      </x:c>
      <x:c r="D37" s="9" t="str">
        <x:v>Verify accessibility and final visual consistency</x:v>
      </x:c>
      <x:c r="E37" s="9" t="str">
        <x:v>Check contrast, touch targets, large text and revised screens on Android and iOS.</x:v>
      </x:c>
      <x:c r="F37" s="9" t="str">
        <x:v>Text contrast &gt;=4.5:1; controls &gt;=48 logical pixels; 1.3x text fits.</x:v>
      </x:c>
      <x:c r="G37" s="11" t="n">
        <x:v>0</x:v>
      </x:c>
      <x:c r="H37" s="11" t="n">
        <x:v>4</x:v>
      </x:c>
      <x:c r="I37" s="11" t="n">
        <x:v>4</x:v>
      </x:c>
      <x:c r="J37" s="10" t="n">
        <x:f>SUM(G37:I37)</x:f>
        <x:v>8</x:v>
      </x:c>
      <x:c r="K37" s="9" t="str">
        <x:v>UI-31</x:v>
      </x:c>
      <x:c r="L37" s="12" t="str">
        <x:v>Not started</x:v>
      </x:c>
      <x:c r="M37" s="12" t="str"/>
      <x:c r="N37" s="9" t="str">
        <x:v>lib/app/theme/; lib/features/*/views/</x:v>
      </x:c>
    </x:row>
  </x:sheetData>
  <x:conditionalFormatting sqref="L6:L37">
    <x:cfRule type="containsText" dxfId="0" priority="1" operator="containsText" text="Done"/>
  </x:conditionalFormatting>
  <x:dataValidations count="2">
    <x:dataValidation type="list" sqref="L6:L37">
      <x:formula1>"Not started,In progress,Blocked,Done"</x:formula1>
    </x:dataValidation>
    <x:dataValidation type="list" sqref="C6:C37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d3a88e36874e01"/>
  </x:tableParts>
</x:worksheet>
</file>